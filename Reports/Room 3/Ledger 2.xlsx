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nt Ledger" sheetId="1" r:id="rId1"/>
    <sheet name="Cleaning" sheetId="2" r:id="rId2"/>
  </sheets>
  <calcPr fullCalcOnLoad="1"/>
</workbook>
</file>

<file path=xl/styles.xml><?xml version="1.0" encoding="utf-8"?>
<styleSheet xmlns="http://schemas.openxmlformats.org/spreadsheetml/2006/main">
  <numFmts count="2">
    <numFmt numFmtId="164" formatCode="&quot;$&quot;#,##0.00;[Red]-&quot;$&quot;#,##0.00"/>
    <numFmt numFmtId="165" formatCode="mm/dd/yyyy"/>
  </numFmts>
  <fonts count="5">
    <font>
      <sz val="10"/>
      <name val="Arial"/>
    </font>
    <font>
      <b/>
      <sz val="10"/>
      <name val="Arial"/>
    </font>
    <font>
      <b/>
      <sz val="10"/>
      <color rgb="FF174EA6"/>
      <name val="Arial"/>
    </font>
    <font>
      <sz val="10"/>
      <color rgb="FF5F6368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CE8E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20212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0" fontId="2" fillId="2" borderId="0" xfId="0" applyFont="1" applyFill="1"/>
    <xf numFmtId="164" fontId="0" fillId="0" borderId="0" xfId="0" applyNumberFormat="1"/>
    <xf numFmtId="164" fontId="1" fillId="3" borderId="1" xfId="0" applyNumberFormat="1" applyFont="1" applyFill="1" applyBorder="1"/>
    <xf numFmtId="165" fontId="0" fillId="0" borderId="0" xfId="0" applyNumberFormat="1"/>
    <xf numFmtId="0" fontId="3" fillId="0" borderId="0" xfId="0" applyFont="1"/>
    <xf numFmtId="0" fontId="0" fillId="0" borderId="0" xfId="0" applyAlignment="1">
      <alignment vertical="top" wrapText="1"/>
    </xf>
    <xf numFmtId="0" fontId="1" fillId="3" borderId="1" xfId="0" applyFont="1" applyFill="1" applyBorder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1">
      <pane ySplit="8" topLeftCell="A9" activePane="bottomLeft" state="frozen"/>
    </sheetView>
  </sheetViews>
  <cols>
    <col min="1" max="1" width="12" customWidth="1"/>
    <col min="2" max="2" width="42" customWidth="1"/>
    <col min="3" max="3" width="15" customWidth="1"/>
    <col min="4" max="4" width="17" customWidth="1"/>
    <col min="5" max="5" width="14" customWidth="1"/>
    <col min="6" max="6" width="16" customWidth="1"/>
  </cols>
  <sheetData>
    <row r="1">
      <c r="A1" s="9" t="inlineStr">
        <is>
          <t xml:space="preserve">RENT LEDGER</t>
        </is>
      </c>
      <c r="B1" s="9" t="inlineStr">
        <is>
          <t xml:space="preserve">Room A — weekly tenancy</t>
        </is>
      </c>
    </row>
    <row r="2">
      <c r="A2" s="6" t="inlineStr">
        <is>
          <t xml:space="preserve">Tenants</t>
        </is>
      </c>
      <c r="B2" s="1" t="inlineStr">
        <is>
          <t xml:space="preserve">VLADIMIR FLOROV, DANILA FLOROV</t>
        </is>
      </c>
    </row>
    <row r="3">
      <c r="A3" s="6" t="inlineStr">
        <is>
          <t xml:space="preserve">Rent rate</t>
        </is>
      </c>
      <c r="B3" s="1" t="inlineStr">
        <is>
          <t xml:space="preserve">$425.00 per week</t>
        </is>
      </c>
    </row>
    <row r="4">
      <c r="A4" s="6" t="inlineStr">
        <is>
          <t xml:space="preserve">Ledger period</t>
        </is>
      </c>
      <c r="B4" s="1" t="inlineStr">
        <is>
          <t xml:space="preserve">July 1, 2025 through September 3, 2026</t>
        </is>
      </c>
    </row>
    <row r="5">
      <c r="A5" s="6" t="inlineStr">
        <is>
          <t xml:space="preserve">Deposit account</t>
        </is>
      </c>
      <c r="B5" s="1" t="inlineStr">
        <is>
          <t xml:space="preserve">U.S. Bank Checking ····8247</t>
        </is>
      </c>
    </row>
    <row r="6">
      <c r="A6" s="6" t="inlineStr">
        <is>
          <t xml:space="preserve">Prepared</t>
        </is>
      </c>
      <c r="B6" s="1" t="inlineStr">
        <is>
          <t xml:space="preserve">September 3, 2026</t>
        </is>
      </c>
    </row>
    <row r="7"/>
    <row r="8">
      <c r="A8" s="2" t="inlineStr">
        <is>
          <t xml:space="preserve">Date</t>
        </is>
      </c>
      <c r="B8" s="2" t="inlineStr">
        <is>
          <t xml:space="preserve">Description</t>
        </is>
      </c>
      <c r="C8" s="2" t="inlineStr">
        <is>
          <t xml:space="preserve">Debit (Charge)</t>
        </is>
      </c>
      <c r="D8" s="2" t="inlineStr">
        <is>
          <t xml:space="preserve">Credit (Payment)</t>
        </is>
      </c>
      <c r="E8" s="2" t="inlineStr">
        <is>
          <t xml:space="preserve">Balance Due</t>
        </is>
      </c>
      <c r="F8" s="2" t="inlineStr">
        <is>
          <t xml:space="preserve">Reference</t>
        </is>
      </c>
    </row>
    <row r="9">
      <c r="A9" s="5">
        <v>45839</v>
      </c>
      <c r="B9" t="inlineStr">
        <is>
          <t xml:space="preserve">Rent due — week of July 1, 2025</t>
        </is>
      </c>
      <c r="C9" s="3">
        <v>425</v>
      </c>
      <c r="E9" s="3">
        <f>C9-D9</f>
        <v>425.00</v>
      </c>
    </row>
    <row r="10">
      <c r="A10" s="5">
        <v>45846</v>
      </c>
      <c r="B10" t="inlineStr">
        <is>
          <t xml:space="preserve">Rent due — week of July 8, 2025</t>
        </is>
      </c>
      <c r="C10" s="3">
        <v>425</v>
      </c>
      <c r="E10" s="3">
        <f>E9+C10-D10</f>
        <v>850.00</v>
      </c>
    </row>
    <row r="11">
      <c r="A11" s="5">
        <v>45846</v>
      </c>
      <c r="B11" t="inlineStr">
        <is>
          <t xml:space="preserve">Payment — Zelle from VLADIMIR FLOROV</t>
        </is>
      </c>
      <c r="D11" s="3">
        <v>625</v>
      </c>
      <c r="E11" s="3">
        <f>E10+C11-D11</f>
        <v>225.00</v>
      </c>
      <c r="F11" t="inlineStr">
        <is>
          <t xml:space="preserve">WFCT0YZWSB9P</t>
        </is>
      </c>
    </row>
    <row r="12">
      <c r="A12" s="5">
        <v>45852</v>
      </c>
      <c r="B12" t="inlineStr">
        <is>
          <t xml:space="preserve">Payment — Zelle from VLADIMIR FLOROV</t>
        </is>
      </c>
      <c r="D12" s="3">
        <v>425</v>
      </c>
      <c r="E12" s="3">
        <f>E11+C12-D12</f>
        <v>-200.00</v>
      </c>
      <c r="F12" t="inlineStr">
        <is>
          <t xml:space="preserve">WFCT0Z2JHZGZ</t>
        </is>
      </c>
    </row>
    <row r="13">
      <c r="A13" s="5">
        <v>45853</v>
      </c>
      <c r="B13" t="inlineStr">
        <is>
          <t xml:space="preserve">Rent due — week of July 15, 2025</t>
        </is>
      </c>
      <c r="C13" s="3">
        <v>425</v>
      </c>
      <c r="E13" s="3">
        <f>E12+C13-D13</f>
        <v>225.00</v>
      </c>
    </row>
    <row r="14">
      <c r="A14" s="5">
        <v>45860</v>
      </c>
      <c r="B14" t="inlineStr">
        <is>
          <t xml:space="preserve">Rent due — week of July 22, 2025</t>
        </is>
      </c>
      <c r="C14" s="3">
        <v>425</v>
      </c>
      <c r="E14" s="3">
        <f>E13+C14-D14</f>
        <v>650.00</v>
      </c>
    </row>
    <row r="15">
      <c r="A15" s="5">
        <v>45860</v>
      </c>
      <c r="B15" t="inlineStr">
        <is>
          <t xml:space="preserve">Payment — Zelle from VLADIMIR FLOROV</t>
        </is>
      </c>
      <c r="D15" s="3">
        <v>425</v>
      </c>
      <c r="E15" s="3">
        <f>E14+C15-D15</f>
        <v>225.00</v>
      </c>
      <c r="F15" t="inlineStr">
        <is>
          <t xml:space="preserve">WFCT0Z382CQC</t>
        </is>
      </c>
    </row>
    <row r="16">
      <c r="A16" s="5">
        <v>45867</v>
      </c>
      <c r="B16" t="inlineStr">
        <is>
          <t xml:space="preserve">Rent due — week of July 29, 2025</t>
        </is>
      </c>
      <c r="C16" s="3">
        <v>425</v>
      </c>
      <c r="E16" s="3">
        <f>E15+C16-D16</f>
        <v>650.00</v>
      </c>
    </row>
    <row r="17">
      <c r="A17" s="5">
        <v>45874</v>
      </c>
      <c r="B17" t="inlineStr">
        <is>
          <t xml:space="preserve">Rent due — week of August 5, 2025</t>
        </is>
      </c>
      <c r="C17" s="3">
        <v>425</v>
      </c>
      <c r="E17" s="3">
        <f>E16+C17-D17</f>
        <v>1075.00</v>
      </c>
    </row>
    <row r="18">
      <c r="A18" s="5">
        <v>45881</v>
      </c>
      <c r="B18" t="inlineStr">
        <is>
          <t xml:space="preserve">Rent due — week of August 12, 2025</t>
        </is>
      </c>
      <c r="C18" s="3">
        <v>425</v>
      </c>
      <c r="E18" s="3">
        <f>E17+C18-D18</f>
        <v>1500.00</v>
      </c>
    </row>
    <row r="19">
      <c r="A19" s="5">
        <v>45883</v>
      </c>
      <c r="B19" t="inlineStr">
        <is>
          <t xml:space="preserve">Payment — Zelle from VLADIMIR FLOROV</t>
        </is>
      </c>
      <c r="D19" s="3">
        <v>425</v>
      </c>
      <c r="E19" s="3">
        <f>E18+C19-D19</f>
        <v>1075.00</v>
      </c>
      <c r="F19" t="inlineStr">
        <is>
          <t xml:space="preserve">WFCT0Z5LD3CD</t>
        </is>
      </c>
    </row>
    <row r="20">
      <c r="A20" s="5">
        <v>45888</v>
      </c>
      <c r="B20" t="inlineStr">
        <is>
          <t xml:space="preserve">Rent due — week of August 19, 2025</t>
        </is>
      </c>
      <c r="C20" s="3">
        <v>425</v>
      </c>
      <c r="E20" s="3">
        <f>E19+C20-D20</f>
        <v>1500.00</v>
      </c>
    </row>
    <row r="21">
      <c r="A21" s="5">
        <v>45895</v>
      </c>
      <c r="B21" t="inlineStr">
        <is>
          <t xml:space="preserve">Rent due — week of August 26, 2025</t>
        </is>
      </c>
      <c r="C21" s="3">
        <v>425</v>
      </c>
      <c r="E21" s="3">
        <f>E20+C21-D21</f>
        <v>1925.00</v>
      </c>
    </row>
    <row r="22">
      <c r="A22" s="5">
        <v>45902</v>
      </c>
      <c r="B22" t="inlineStr">
        <is>
          <t xml:space="preserve">Rent due — week of September 2, 2025</t>
        </is>
      </c>
      <c r="C22" s="3">
        <v>425</v>
      </c>
      <c r="E22" s="3">
        <f>E21+C22-D22</f>
        <v>2350.00</v>
      </c>
    </row>
    <row r="23">
      <c r="A23" s="5">
        <v>45903</v>
      </c>
      <c r="B23" t="inlineStr">
        <is>
          <t xml:space="preserve">Payment — Zelle from VLADIMIR FLOROV</t>
        </is>
      </c>
      <c r="D23" s="3">
        <v>425</v>
      </c>
      <c r="E23" s="3">
        <f>E22+C23-D23</f>
        <v>1925.00</v>
      </c>
      <c r="F23" t="inlineStr">
        <is>
          <t xml:space="preserve">WFCT0Z7N8C32</t>
        </is>
      </c>
    </row>
    <row r="24">
      <c r="A24" s="5">
        <v>45909</v>
      </c>
      <c r="B24" t="inlineStr">
        <is>
          <t xml:space="preserve">Rent due — week of September 9, 2025</t>
        </is>
      </c>
      <c r="C24" s="3">
        <v>425</v>
      </c>
      <c r="E24" s="3">
        <f>E23+C24-D24</f>
        <v>2350.00</v>
      </c>
    </row>
    <row r="25">
      <c r="A25" s="5">
        <v>45916</v>
      </c>
      <c r="B25" t="inlineStr">
        <is>
          <t xml:space="preserve">Rent due — week of September 16, 2025</t>
        </is>
      </c>
      <c r="C25" s="3">
        <v>425</v>
      </c>
      <c r="E25" s="3">
        <f>E24+C25-D25</f>
        <v>2775.00</v>
      </c>
    </row>
    <row r="26">
      <c r="A26" s="5">
        <v>45918</v>
      </c>
      <c r="B26" t="inlineStr">
        <is>
          <t xml:space="preserve">Payment — Zelle from VLADIMIR FLOROV</t>
        </is>
      </c>
      <c r="D26" s="3">
        <v>425</v>
      </c>
      <c r="E26" s="3">
        <f>E25+C26-D26</f>
        <v>2350.00</v>
      </c>
      <c r="F26" t="inlineStr">
        <is>
          <t xml:space="preserve">WFCT0Z994M45</t>
        </is>
      </c>
    </row>
    <row r="27">
      <c r="A27" s="5">
        <v>45923</v>
      </c>
      <c r="B27" t="inlineStr">
        <is>
          <t xml:space="preserve">Rent due — week of September 23, 2025</t>
        </is>
      </c>
      <c r="C27" s="3">
        <v>425</v>
      </c>
      <c r="E27" s="3">
        <f>E26+C27-D27</f>
        <v>2775.00</v>
      </c>
    </row>
    <row r="28">
      <c r="A28" s="5">
        <v>45930</v>
      </c>
      <c r="B28" t="inlineStr">
        <is>
          <t xml:space="preserve">Rent due — week of September 30, 2025</t>
        </is>
      </c>
      <c r="C28" s="3">
        <v>425</v>
      </c>
      <c r="E28" s="3">
        <f>E27+C28-D28</f>
        <v>3200.00</v>
      </c>
    </row>
    <row r="29">
      <c r="A29" s="5">
        <v>45937</v>
      </c>
      <c r="B29" t="inlineStr">
        <is>
          <t xml:space="preserve">Rent due — week of October 7, 2025</t>
        </is>
      </c>
      <c r="C29" s="3">
        <v>425</v>
      </c>
      <c r="E29" s="3">
        <f>E28+C29-D29</f>
        <v>3625.00</v>
      </c>
    </row>
    <row r="30">
      <c r="A30" s="5">
        <v>45944</v>
      </c>
      <c r="B30" t="inlineStr">
        <is>
          <t xml:space="preserve">Rent due — week of October 14, 2025</t>
        </is>
      </c>
      <c r="C30" s="3">
        <v>425</v>
      </c>
      <c r="E30" s="3">
        <f>E29+C30-D30</f>
        <v>4050.00</v>
      </c>
    </row>
    <row r="31">
      <c r="A31" s="5">
        <v>45951</v>
      </c>
      <c r="B31" t="inlineStr">
        <is>
          <t xml:space="preserve">Rent due — week of October 21, 2025</t>
        </is>
      </c>
      <c r="C31" s="3">
        <v>425</v>
      </c>
      <c r="E31" s="3">
        <f>E30+C31-D31</f>
        <v>4475.00</v>
      </c>
    </row>
    <row r="32">
      <c r="A32" s="5">
        <v>45958</v>
      </c>
      <c r="B32" t="inlineStr">
        <is>
          <t xml:space="preserve">Rent due — week of October 28, 2025</t>
        </is>
      </c>
      <c r="C32" s="3">
        <v>425</v>
      </c>
      <c r="E32" s="3">
        <f>E31+C32-D32</f>
        <v>4900.00</v>
      </c>
    </row>
    <row r="33">
      <c r="A33" s="5">
        <v>45965</v>
      </c>
      <c r="B33" t="inlineStr">
        <is>
          <t xml:space="preserve">Rent due — week of November 4, 2025</t>
        </is>
      </c>
      <c r="C33" s="3">
        <v>425</v>
      </c>
      <c r="E33" s="3">
        <f>E32+C33-D33</f>
        <v>5325.00</v>
      </c>
    </row>
    <row r="34">
      <c r="A34" s="5">
        <v>45972</v>
      </c>
      <c r="B34" t="inlineStr">
        <is>
          <t xml:space="preserve">Rent due — week of November 11, 2025</t>
        </is>
      </c>
      <c r="C34" s="3">
        <v>425</v>
      </c>
      <c r="E34" s="3">
        <f>E33+C34-D34</f>
        <v>5750.00</v>
      </c>
    </row>
    <row r="35">
      <c r="A35" s="5">
        <v>45978</v>
      </c>
      <c r="B35" t="inlineStr">
        <is>
          <t xml:space="preserve">Payment — Zelle from VLADIMIR FLOROV</t>
        </is>
      </c>
      <c r="D35" s="3">
        <v>300</v>
      </c>
      <c r="E35" s="3">
        <f>E34+C35-D35</f>
        <v>5450.00</v>
      </c>
      <c r="F35" t="inlineStr">
        <is>
          <t xml:space="preserve">WFCT0ZHLK28B</t>
        </is>
      </c>
    </row>
    <row r="36">
      <c r="A36" s="5">
        <v>45979</v>
      </c>
      <c r="B36" t="inlineStr">
        <is>
          <t xml:space="preserve">Rent due — week of November 18, 2025</t>
        </is>
      </c>
      <c r="C36" s="3">
        <v>425</v>
      </c>
      <c r="E36" s="3">
        <f>E35+C36-D36</f>
        <v>5875.00</v>
      </c>
    </row>
    <row r="37">
      <c r="A37" s="5">
        <v>45986</v>
      </c>
      <c r="B37" t="inlineStr">
        <is>
          <t xml:space="preserve">Rent due — week of November 25, 2025</t>
        </is>
      </c>
      <c r="C37" s="3">
        <v>425</v>
      </c>
      <c r="E37" s="3">
        <f>E36+C37-D37</f>
        <v>6300.00</v>
      </c>
    </row>
    <row r="38">
      <c r="A38" s="5">
        <v>45993</v>
      </c>
      <c r="B38" t="inlineStr">
        <is>
          <t xml:space="preserve">Rent due — week of December 2, 2025</t>
        </is>
      </c>
      <c r="C38" s="3">
        <v>425</v>
      </c>
      <c r="E38" s="3">
        <f>E37+C38-D38</f>
        <v>6725.00</v>
      </c>
    </row>
    <row r="39">
      <c r="A39" s="5">
        <v>46000</v>
      </c>
      <c r="B39" t="inlineStr">
        <is>
          <t xml:space="preserve">Rent due — week of December 9, 2025</t>
        </is>
      </c>
      <c r="C39" s="3">
        <v>425</v>
      </c>
      <c r="E39" s="3">
        <f>E38+C39-D39</f>
        <v>7150.00</v>
      </c>
    </row>
    <row r="40">
      <c r="A40" s="5">
        <v>46000</v>
      </c>
      <c r="B40" t="inlineStr">
        <is>
          <t xml:space="preserve">Payment — Zelle from VLADIMIR FLOROV</t>
        </is>
      </c>
      <c r="D40" s="3">
        <v>400</v>
      </c>
      <c r="E40" s="3">
        <f>E39+C40-D40</f>
        <v>6750.00</v>
      </c>
      <c r="F40" t="inlineStr">
        <is>
          <t xml:space="preserve">WFCT0ZKX2YV4</t>
        </is>
      </c>
    </row>
    <row r="41">
      <c r="A41" s="5">
        <v>46007</v>
      </c>
      <c r="B41" t="inlineStr">
        <is>
          <t xml:space="preserve">Rent due — week of December 16, 2025</t>
        </is>
      </c>
      <c r="C41" s="3">
        <v>425</v>
      </c>
      <c r="E41" s="3">
        <f>E40+C41-D41</f>
        <v>7175.00</v>
      </c>
    </row>
    <row r="42">
      <c r="A42" s="5">
        <v>46014</v>
      </c>
      <c r="B42" t="inlineStr">
        <is>
          <t xml:space="preserve">Rent due — week of December 23, 2025</t>
        </is>
      </c>
      <c r="C42" s="3">
        <v>425</v>
      </c>
      <c r="E42" s="3">
        <f>E41+C42-D42</f>
        <v>7600.00</v>
      </c>
    </row>
    <row r="43">
      <c r="A43" s="5">
        <v>46017</v>
      </c>
      <c r="B43" t="inlineStr">
        <is>
          <t xml:space="preserve">Payment — Zelle from VLADIMIR FLOROV</t>
        </is>
      </c>
      <c r="D43" s="3">
        <v>425</v>
      </c>
      <c r="E43" s="3">
        <f>E42+C43-D43</f>
        <v>7175.00</v>
      </c>
      <c r="F43" t="inlineStr">
        <is>
          <t xml:space="preserve">WFCT0ZMPJR62</t>
        </is>
      </c>
    </row>
    <row r="44">
      <c r="A44" s="5">
        <v>46021</v>
      </c>
      <c r="B44" t="inlineStr">
        <is>
          <t xml:space="preserve">Rent due — week of December 30, 2025</t>
        </is>
      </c>
      <c r="C44" s="3">
        <v>425</v>
      </c>
      <c r="E44" s="3">
        <f>E43+C44-D44</f>
        <v>7600.00</v>
      </c>
    </row>
    <row r="45">
      <c r="A45" s="5">
        <v>46024</v>
      </c>
      <c r="B45" t="inlineStr">
        <is>
          <t xml:space="preserve">Payment — Zelle from DANILA FLOROV</t>
        </is>
      </c>
      <c r="D45" s="3">
        <v>425</v>
      </c>
      <c r="E45" s="3">
        <f>E44+C45-D45</f>
        <v>7175.00</v>
      </c>
      <c r="F45" t="inlineStr">
        <is>
          <t xml:space="preserve">WFCT0ZND7DPT</t>
        </is>
      </c>
    </row>
    <row r="46">
      <c r="A46" s="5">
        <v>46028</v>
      </c>
      <c r="B46" t="inlineStr">
        <is>
          <t xml:space="preserve">Rent due — week of January 6, 2026</t>
        </is>
      </c>
      <c r="C46" s="3">
        <v>425</v>
      </c>
      <c r="E46" s="3">
        <f>E45+C46-D46</f>
        <v>7600.00</v>
      </c>
    </row>
    <row r="47">
      <c r="A47" s="5">
        <v>46034</v>
      </c>
      <c r="B47" t="inlineStr">
        <is>
          <t xml:space="preserve">Payment — Zelle from DANILA FLOROV</t>
        </is>
      </c>
      <c r="D47" s="3">
        <v>450</v>
      </c>
      <c r="E47" s="3">
        <f>E46+C47-D47</f>
        <v>7150.00</v>
      </c>
      <c r="F47" t="inlineStr">
        <is>
          <t xml:space="preserve">WFCT0ZPD62CH</t>
        </is>
      </c>
    </row>
    <row r="48">
      <c r="A48" s="5">
        <v>46035</v>
      </c>
      <c r="B48" t="inlineStr">
        <is>
          <t xml:space="preserve">Rent due — week of January 13, 2026</t>
        </is>
      </c>
      <c r="C48" s="3">
        <v>425</v>
      </c>
      <c r="E48" s="3">
        <f>E47+C48-D48</f>
        <v>7575.00</v>
      </c>
    </row>
    <row r="49">
      <c r="A49" s="5">
        <v>46042</v>
      </c>
      <c r="B49" t="inlineStr">
        <is>
          <t xml:space="preserve">Rent due — week of January 20, 2026</t>
        </is>
      </c>
      <c r="C49" s="3">
        <v>425</v>
      </c>
      <c r="E49" s="3">
        <f>E48+C49-D49</f>
        <v>8000.00</v>
      </c>
    </row>
    <row r="50">
      <c r="A50" s="5">
        <v>46042</v>
      </c>
      <c r="B50" t="inlineStr">
        <is>
          <t xml:space="preserve">Payment — Zelle from VLADIMIR FLOROV</t>
        </is>
      </c>
      <c r="D50" s="3">
        <v>425</v>
      </c>
      <c r="E50" s="3">
        <f>E49+C50-D50</f>
        <v>7575.00</v>
      </c>
      <c r="F50" t="inlineStr">
        <is>
          <t xml:space="preserve">WFCT0ZQ65DM5</t>
        </is>
      </c>
    </row>
    <row r="51">
      <c r="A51" s="5">
        <v>46048</v>
      </c>
      <c r="B51" t="inlineStr">
        <is>
          <t xml:space="preserve">Payment — Zelle from VLADIMIR FLOROV</t>
        </is>
      </c>
      <c r="D51" s="3">
        <v>425</v>
      </c>
      <c r="E51" s="3">
        <f>E50+C51-D51</f>
        <v>7150.00</v>
      </c>
      <c r="F51" t="inlineStr">
        <is>
          <t xml:space="preserve">WFCT0ZQT2RBJ</t>
        </is>
      </c>
    </row>
    <row r="52">
      <c r="A52" s="5">
        <v>46049</v>
      </c>
      <c r="B52" t="inlineStr">
        <is>
          <t xml:space="preserve">Rent due — week of January 27, 2026</t>
        </is>
      </c>
      <c r="C52" s="3">
        <v>425</v>
      </c>
      <c r="E52" s="3">
        <f>E51+C52-D52</f>
        <v>7575.00</v>
      </c>
    </row>
    <row r="53">
      <c r="A53" s="5">
        <v>46055</v>
      </c>
      <c r="B53" t="inlineStr">
        <is>
          <t xml:space="preserve">Payment — Zelle from DANILA FLOROV</t>
        </is>
      </c>
      <c r="D53" s="3">
        <v>425</v>
      </c>
      <c r="E53" s="3">
        <f>E52+C53-D53</f>
        <v>7150.00</v>
      </c>
      <c r="F53" t="inlineStr">
        <is>
          <t xml:space="preserve">WFCT0ZRMFY4Z</t>
        </is>
      </c>
    </row>
    <row r="54">
      <c r="A54" s="5">
        <v>46056</v>
      </c>
      <c r="B54" t="inlineStr">
        <is>
          <t xml:space="preserve">Rent due — week of February 3, 2026</t>
        </is>
      </c>
      <c r="C54" s="3">
        <v>425</v>
      </c>
      <c r="E54" s="3">
        <f>E53+C54-D54</f>
        <v>7575.00</v>
      </c>
    </row>
    <row r="55">
      <c r="A55" s="5">
        <v>46063</v>
      </c>
      <c r="B55" t="inlineStr">
        <is>
          <t xml:space="preserve">Rent due — week of February 10, 2026</t>
        </is>
      </c>
      <c r="C55" s="3">
        <v>425</v>
      </c>
      <c r="E55" s="3">
        <f>E54+C55-D55</f>
        <v>8000.00</v>
      </c>
    </row>
    <row r="56">
      <c r="A56" s="5">
        <v>46063</v>
      </c>
      <c r="B56" t="inlineStr">
        <is>
          <t xml:space="preserve">Payment — Zelle from VLADIMIR FLOROV</t>
        </is>
      </c>
      <c r="D56" s="3">
        <v>425</v>
      </c>
      <c r="E56" s="3">
        <f>E55+C56-D56</f>
        <v>7575.00</v>
      </c>
      <c r="F56" t="inlineStr">
        <is>
          <t xml:space="preserve">WFCT0ZSHY3Q7</t>
        </is>
      </c>
    </row>
    <row r="57">
      <c r="A57" s="5">
        <v>46070</v>
      </c>
      <c r="B57" t="inlineStr">
        <is>
          <t xml:space="preserve">Rent due — week of February 17, 2026</t>
        </is>
      </c>
      <c r="C57" s="3">
        <v>425</v>
      </c>
      <c r="E57" s="3">
        <f>E56+C57-D57</f>
        <v>8000.00</v>
      </c>
    </row>
    <row r="58">
      <c r="A58" s="5">
        <v>46077</v>
      </c>
      <c r="B58" t="inlineStr">
        <is>
          <t xml:space="preserve">Rent due — week of February 24, 2026</t>
        </is>
      </c>
      <c r="C58" s="3">
        <v>425</v>
      </c>
      <c r="E58" s="3">
        <f>E57+C58-D58</f>
        <v>8425.00</v>
      </c>
    </row>
    <row r="59">
      <c r="A59" s="5">
        <v>46083</v>
      </c>
      <c r="B59" t="inlineStr">
        <is>
          <t xml:space="preserve">Payment — Zelle from VLADIMIR FLOROV</t>
        </is>
      </c>
      <c r="D59" s="3">
        <v>425</v>
      </c>
      <c r="E59" s="3">
        <f>E58+C59-D59</f>
        <v>8000.00</v>
      </c>
      <c r="F59" t="inlineStr">
        <is>
          <t xml:space="preserve">WFCT0ZVDYZ8R</t>
        </is>
      </c>
    </row>
    <row r="60">
      <c r="A60" s="5">
        <v>46084</v>
      </c>
      <c r="B60" t="inlineStr">
        <is>
          <t xml:space="preserve">Rent due — week of March 3, 2026</t>
        </is>
      </c>
      <c r="C60" s="3">
        <v>425</v>
      </c>
      <c r="E60" s="3">
        <f>E59+C60-D60</f>
        <v>8425.00</v>
      </c>
    </row>
    <row r="61">
      <c r="A61" s="5">
        <v>46087</v>
      </c>
      <c r="B61" t="inlineStr">
        <is>
          <t xml:space="preserve">Payment — Zelle from DANILA FLOROV</t>
        </is>
      </c>
      <c r="D61" s="3">
        <v>425</v>
      </c>
      <c r="E61" s="3">
        <f>E60+C61-D61</f>
        <v>8000.00</v>
      </c>
      <c r="F61" t="inlineStr">
        <is>
          <t xml:space="preserve">WFCT0ZW553TH</t>
        </is>
      </c>
    </row>
    <row r="62">
      <c r="A62" s="5">
        <v>46091</v>
      </c>
      <c r="B62" t="inlineStr">
        <is>
          <t xml:space="preserve">Rent due — week of March 10, 2026</t>
        </is>
      </c>
      <c r="C62" s="3">
        <v>425</v>
      </c>
      <c r="E62" s="3">
        <f>E61+C62-D62</f>
        <v>8425.00</v>
      </c>
    </row>
    <row r="63">
      <c r="A63" s="5">
        <v>46097</v>
      </c>
      <c r="B63" t="inlineStr">
        <is>
          <t xml:space="preserve">Payment — Zelle from DANILA FLOROV</t>
        </is>
      </c>
      <c r="D63" s="3">
        <v>425</v>
      </c>
      <c r="E63" s="3">
        <f>E62+C63-D63</f>
        <v>8000.00</v>
      </c>
      <c r="F63" t="inlineStr">
        <is>
          <t xml:space="preserve">WFCT0ZX6NHYV</t>
        </is>
      </c>
    </row>
    <row r="64">
      <c r="A64" s="5">
        <v>46098</v>
      </c>
      <c r="B64" t="inlineStr">
        <is>
          <t xml:space="preserve">Rent due — week of March 17, 2026</t>
        </is>
      </c>
      <c r="C64" s="3">
        <v>425</v>
      </c>
      <c r="E64" s="3">
        <f>E63+C64-D64</f>
        <v>8425.00</v>
      </c>
    </row>
    <row r="65">
      <c r="A65" s="5">
        <v>46104</v>
      </c>
      <c r="B65" t="inlineStr">
        <is>
          <t xml:space="preserve">Payment — Zelle from VLADIMIR FLOROV</t>
        </is>
      </c>
      <c r="D65" s="3">
        <v>425</v>
      </c>
      <c r="E65" s="3">
        <f>E64+C65-D65</f>
        <v>8000.00</v>
      </c>
      <c r="F65" t="inlineStr">
        <is>
          <t xml:space="preserve">WFCT0ZXXNQR8</t>
        </is>
      </c>
    </row>
    <row r="66">
      <c r="A66" s="5">
        <v>46105</v>
      </c>
      <c r="B66" t="inlineStr">
        <is>
          <t xml:space="preserve">Rent due — week of March 24, 2026</t>
        </is>
      </c>
      <c r="C66" s="3">
        <v>425</v>
      </c>
      <c r="E66" s="3">
        <f>E65+C66-D66</f>
        <v>8425.00</v>
      </c>
    </row>
    <row r="67">
      <c r="A67" s="5">
        <v>46111</v>
      </c>
      <c r="B67" t="inlineStr">
        <is>
          <t xml:space="preserve">Payment — Zelle from VLADIMIR FLOROV</t>
        </is>
      </c>
      <c r="D67" s="3">
        <v>425</v>
      </c>
      <c r="E67" s="3">
        <f>E66+C67-D67</f>
        <v>8000.00</v>
      </c>
      <c r="F67" t="inlineStr">
        <is>
          <t xml:space="preserve">WFCT0ZYSR97K</t>
        </is>
      </c>
    </row>
    <row r="68">
      <c r="A68" s="5">
        <v>46112</v>
      </c>
      <c r="B68" t="inlineStr">
        <is>
          <t xml:space="preserve">Rent due — week of March 31, 2026</t>
        </is>
      </c>
      <c r="C68" s="3">
        <v>425</v>
      </c>
      <c r="E68" s="3">
        <f>E67+C68-D68</f>
        <v>8425.00</v>
      </c>
    </row>
    <row r="69">
      <c r="A69" s="5">
        <v>46118</v>
      </c>
      <c r="B69" t="inlineStr">
        <is>
          <t xml:space="preserve">Payment — Zelle from DANILA FLOROV</t>
        </is>
      </c>
      <c r="D69" s="3">
        <v>425</v>
      </c>
      <c r="E69" s="3">
        <f>E68+C69-D69</f>
        <v>8000.00</v>
      </c>
      <c r="F69" t="inlineStr">
        <is>
          <t xml:space="preserve">WFCT0ZZQ8P22</t>
        </is>
      </c>
    </row>
    <row r="70">
      <c r="A70" s="5">
        <v>46119</v>
      </c>
      <c r="B70" t="inlineStr">
        <is>
          <t xml:space="preserve">Rent due — week of April 7, 2026</t>
        </is>
      </c>
      <c r="C70" s="3">
        <v>425</v>
      </c>
      <c r="E70" s="3">
        <f>E69+C70-D70</f>
        <v>8425.00</v>
      </c>
    </row>
    <row r="71">
      <c r="A71" s="5">
        <v>46126</v>
      </c>
      <c r="B71" t="inlineStr">
        <is>
          <t xml:space="preserve">Rent due — week of April 14, 2026</t>
        </is>
      </c>
      <c r="C71" s="3">
        <v>425</v>
      </c>
      <c r="E71" s="3">
        <f>E70+C71-D71</f>
        <v>8850.00</v>
      </c>
    </row>
    <row r="72">
      <c r="A72" s="5">
        <v>46128</v>
      </c>
      <c r="B72" t="inlineStr">
        <is>
          <t xml:space="preserve">Payment — Zelle from DANILA FLOROV</t>
        </is>
      </c>
      <c r="D72" s="3">
        <v>425</v>
      </c>
      <c r="E72" s="3">
        <f>E71+C72-D72</f>
        <v>8425.00</v>
      </c>
      <c r="F72" t="inlineStr">
        <is>
          <t xml:space="preserve">WFCT122RKFKY</t>
        </is>
      </c>
    </row>
    <row r="73">
      <c r="A73" s="5">
        <v>46133</v>
      </c>
      <c r="B73" t="inlineStr">
        <is>
          <t xml:space="preserve">Rent due — week of April 21, 2026</t>
        </is>
      </c>
      <c r="C73" s="3">
        <v>425</v>
      </c>
      <c r="E73" s="3">
        <f>E72+C73-D73</f>
        <v>8850.00</v>
      </c>
    </row>
    <row r="74">
      <c r="A74" s="5">
        <v>46140</v>
      </c>
      <c r="B74" t="inlineStr">
        <is>
          <t xml:space="preserve">Rent due — week of April 28, 2026</t>
        </is>
      </c>
      <c r="C74" s="3">
        <v>425</v>
      </c>
      <c r="E74" s="3">
        <f>E73+C74-D74</f>
        <v>9275.00</v>
      </c>
    </row>
    <row r="75">
      <c r="A75" s="5">
        <v>46146</v>
      </c>
      <c r="B75" t="inlineStr">
        <is>
          <t xml:space="preserve">Payment — Zelle from VLADIMIR FLOROV</t>
        </is>
      </c>
      <c r="D75" s="3">
        <v>850</v>
      </c>
      <c r="E75" s="3">
        <f>E74+C75-D75</f>
        <v>8425.00</v>
      </c>
      <c r="F75" t="inlineStr">
        <is>
          <t xml:space="preserve">WFCT124WMKPC</t>
        </is>
      </c>
    </row>
    <row r="76">
      <c r="A76" s="5">
        <v>46147</v>
      </c>
      <c r="B76" t="inlineStr">
        <is>
          <t xml:space="preserve">Rent due — week of May 5, 2026</t>
        </is>
      </c>
      <c r="C76" s="3">
        <v>425</v>
      </c>
      <c r="E76" s="3">
        <f>E75+C76-D76</f>
        <v>8850.00</v>
      </c>
    </row>
    <row r="77">
      <c r="A77" s="5">
        <v>46154</v>
      </c>
      <c r="B77" t="inlineStr">
        <is>
          <t xml:space="preserve">Rent due — week of May 12, 2026</t>
        </is>
      </c>
      <c r="C77" s="3">
        <v>425</v>
      </c>
      <c r="E77" s="3">
        <f>E76+C77-D77</f>
        <v>9275.00</v>
      </c>
    </row>
    <row r="78">
      <c r="A78" s="5">
        <v>46161</v>
      </c>
      <c r="B78" t="inlineStr">
        <is>
          <t xml:space="preserve">Rent due — week of May 19, 2026</t>
        </is>
      </c>
      <c r="C78" s="3">
        <v>425</v>
      </c>
      <c r="E78" s="3">
        <f>E77+C78-D78</f>
        <v>9700.00</v>
      </c>
    </row>
    <row r="79">
      <c r="A79" s="5">
        <v>46161</v>
      </c>
      <c r="B79" t="inlineStr">
        <is>
          <t xml:space="preserve">Payment — Zelle from VLADIMIR FLOROV</t>
        </is>
      </c>
      <c r="D79" s="3">
        <v>425</v>
      </c>
      <c r="E79" s="3">
        <f>E78+C79-D79</f>
        <v>9275.00</v>
      </c>
      <c r="F79" t="inlineStr">
        <is>
          <t xml:space="preserve">WFCT126JW5BH</t>
        </is>
      </c>
    </row>
    <row r="80">
      <c r="A80" s="5">
        <v>46168</v>
      </c>
      <c r="B80" t="inlineStr">
        <is>
          <t xml:space="preserve">Rent due — week of May 26, 2026</t>
        </is>
      </c>
      <c r="C80" s="3">
        <v>425</v>
      </c>
      <c r="E80" s="3">
        <f>E79+C80-D80</f>
        <v>9700.00</v>
      </c>
    </row>
    <row r="81">
      <c r="A81" s="5">
        <v>46175</v>
      </c>
      <c r="B81" t="inlineStr">
        <is>
          <t xml:space="preserve">Rent due — week of June 2, 2026</t>
        </is>
      </c>
      <c r="C81" s="3">
        <v>425</v>
      </c>
      <c r="E81" s="3">
        <f>E80+C81-D81</f>
        <v>10125.00</v>
      </c>
    </row>
    <row r="82">
      <c r="A82" s="5">
        <v>46182</v>
      </c>
      <c r="B82" t="inlineStr">
        <is>
          <t xml:space="preserve">Rent due — week of June 9, 2026</t>
        </is>
      </c>
      <c r="C82" s="3">
        <v>425</v>
      </c>
      <c r="E82" s="3">
        <f>E81+C82-D82</f>
        <v>10550.00</v>
      </c>
    </row>
    <row r="83">
      <c r="A83" s="5">
        <v>46182</v>
      </c>
      <c r="B83" t="inlineStr">
        <is>
          <t xml:space="preserve">Payment — Zelle from VLADIMIR FLOROV</t>
        </is>
      </c>
      <c r="D83" s="3">
        <v>850</v>
      </c>
      <c r="E83" s="3">
        <f>E82+C83-D83</f>
        <v>9700.00</v>
      </c>
      <c r="F83" t="inlineStr">
        <is>
          <t xml:space="preserve">WFCT128YNZ29</t>
        </is>
      </c>
    </row>
    <row r="84">
      <c r="A84" s="5">
        <v>46189</v>
      </c>
      <c r="B84" t="inlineStr">
        <is>
          <t xml:space="preserve">Rent due — week of June 16, 2026</t>
        </is>
      </c>
      <c r="C84" s="3">
        <v>425</v>
      </c>
      <c r="E84" s="3">
        <f>E83+C84-D84</f>
        <v>10125.00</v>
      </c>
    </row>
    <row r="85">
      <c r="A85" s="5">
        <v>46196</v>
      </c>
      <c r="B85" t="inlineStr">
        <is>
          <t xml:space="preserve">Rent due — week of June 23, 2026</t>
        </is>
      </c>
      <c r="C85" s="3">
        <v>425</v>
      </c>
      <c r="E85" s="3">
        <f>E84+C85-D85</f>
        <v>10550.00</v>
      </c>
    </row>
    <row r="86">
      <c r="A86" s="5">
        <v>46196</v>
      </c>
      <c r="B86" t="inlineStr">
        <is>
          <t xml:space="preserve">Payment — Zelle from VLADIMIR FLOROV</t>
        </is>
      </c>
      <c r="D86" s="3">
        <v>850</v>
      </c>
      <c r="E86" s="3">
        <f>E85+C86-D86</f>
        <v>9700.00</v>
      </c>
      <c r="F86" t="inlineStr">
        <is>
          <t xml:space="preserve">WFCT12BK855W</t>
        </is>
      </c>
    </row>
    <row r="87">
      <c r="A87" s="5">
        <v>46203</v>
      </c>
      <c r="B87" t="inlineStr">
        <is>
          <t xml:space="preserve">Rent due — week of June 30, 2026</t>
        </is>
      </c>
      <c r="C87" s="3">
        <v>425</v>
      </c>
      <c r="E87" s="3">
        <f>E86+C87-D87</f>
        <v>10125.00</v>
      </c>
    </row>
    <row r="88">
      <c r="A88" s="5">
        <v>46209</v>
      </c>
      <c r="B88" t="inlineStr">
        <is>
          <t xml:space="preserve">Payment — Zelle from VLADIMIR FLOROV</t>
        </is>
      </c>
      <c r="D88" s="3">
        <v>850</v>
      </c>
      <c r="E88" s="3">
        <f>E87+C88-D88</f>
        <v>9275.00</v>
      </c>
      <c r="F88" t="inlineStr">
        <is>
          <t xml:space="preserve">WFCT12D6BZ47</t>
        </is>
      </c>
    </row>
    <row r="89">
      <c r="A89" s="5">
        <v>46210</v>
      </c>
      <c r="B89" t="inlineStr">
        <is>
          <t xml:space="preserve">Rent due — week of July 7, 2026</t>
        </is>
      </c>
      <c r="C89" s="3">
        <v>425</v>
      </c>
      <c r="E89" s="3">
        <f>E88+C89-D89</f>
        <v>9700.00</v>
      </c>
    </row>
    <row r="90">
      <c r="A90" s="5">
        <v>46217</v>
      </c>
      <c r="B90" t="inlineStr">
        <is>
          <t xml:space="preserve">Rent due — week of July 14, 2026</t>
        </is>
      </c>
      <c r="C90" s="3">
        <v>425</v>
      </c>
      <c r="E90" s="3">
        <f>E89+C90-D90</f>
        <v>10125.00</v>
      </c>
    </row>
    <row r="91">
      <c r="A91" s="5">
        <v>46223</v>
      </c>
      <c r="B91" t="inlineStr">
        <is>
          <t xml:space="preserve">Payment — Zelle from VLADIMIR FLOROV</t>
        </is>
      </c>
      <c r="D91" s="3">
        <v>450</v>
      </c>
      <c r="E91" s="3">
        <f>E90+C91-D91</f>
        <v>9675.00</v>
      </c>
      <c r="F91" t="inlineStr">
        <is>
          <t xml:space="preserve">WFCT22FRK3P9</t>
        </is>
      </c>
    </row>
    <row r="92">
      <c r="A92" s="5">
        <v>46224</v>
      </c>
      <c r="B92" t="inlineStr">
        <is>
          <t xml:space="preserve">Rent due — week of July 21, 2026</t>
        </is>
      </c>
      <c r="C92" s="3">
        <v>425</v>
      </c>
      <c r="E92" s="3">
        <f>E91+C92-D92</f>
        <v>10100.00</v>
      </c>
    </row>
    <row r="93">
      <c r="A93" s="5">
        <v>46231</v>
      </c>
      <c r="B93" t="inlineStr">
        <is>
          <t xml:space="preserve">Rent due — week of July 28, 2026</t>
        </is>
      </c>
      <c r="C93" s="3">
        <v>425</v>
      </c>
      <c r="E93" s="3">
        <f>E92+C93-D93</f>
        <v>10525.00</v>
      </c>
    </row>
    <row r="94">
      <c r="A94" s="5">
        <v>46238</v>
      </c>
      <c r="B94" t="inlineStr">
        <is>
          <t xml:space="preserve">Rent due — week of August 4, 2026</t>
        </is>
      </c>
      <c r="C94" s="3">
        <v>425</v>
      </c>
      <c r="E94" s="3">
        <f>E93+C94-D94</f>
        <v>10950.00</v>
      </c>
    </row>
    <row r="95">
      <c r="A95" s="5">
        <v>46238</v>
      </c>
      <c r="B95" t="inlineStr">
        <is>
          <t xml:space="preserve">Payment — Zelle from VLADIMIR FLOROV</t>
        </is>
      </c>
      <c r="D95" s="3">
        <v>450</v>
      </c>
      <c r="E95" s="3">
        <f>E94+C95-D95</f>
        <v>10500.00</v>
      </c>
      <c r="F95" t="inlineStr">
        <is>
          <t xml:space="preserve">WFCT22HGF72J</t>
        </is>
      </c>
    </row>
    <row r="96">
      <c r="A96" s="5">
        <v>46245</v>
      </c>
      <c r="B96" t="inlineStr">
        <is>
          <t xml:space="preserve">Rent due — week of August 11, 2026</t>
        </is>
      </c>
      <c r="C96" s="3">
        <v>425</v>
      </c>
      <c r="E96" s="3">
        <f>E95+C96-D96</f>
        <v>10925.00</v>
      </c>
    </row>
    <row r="97">
      <c r="A97" s="5">
        <v>46245</v>
      </c>
      <c r="B97" t="inlineStr">
        <is>
          <t xml:space="preserve">Payment — Zelle from VLADIMIR FLOROV</t>
        </is>
      </c>
      <c r="D97" s="3">
        <v>425</v>
      </c>
      <c r="E97" s="3">
        <f>E96+C97-D97</f>
        <v>10500.00</v>
      </c>
      <c r="F97" t="inlineStr">
        <is>
          <t xml:space="preserve">WFCT22J8HNBL</t>
        </is>
      </c>
    </row>
    <row r="98">
      <c r="A98" s="5">
        <v>46251</v>
      </c>
      <c r="B98" t="inlineStr">
        <is>
          <t xml:space="preserve">Payment — Zelle from VLADIMIR FLOROV</t>
        </is>
      </c>
      <c r="D98" s="3">
        <v>425</v>
      </c>
      <c r="E98" s="3">
        <f>E97+C98-D98</f>
        <v>10075.00</v>
      </c>
      <c r="F98" t="inlineStr">
        <is>
          <t xml:space="preserve">WFCT22JXFGF4</t>
        </is>
      </c>
    </row>
    <row r="99">
      <c r="A99" s="5">
        <v>46252</v>
      </c>
      <c r="B99" t="inlineStr">
        <is>
          <t xml:space="preserve">Rent due — week of August 18, 2026</t>
        </is>
      </c>
      <c r="C99" s="3">
        <v>425</v>
      </c>
      <c r="E99" s="3">
        <f>E98+C99-D99</f>
        <v>10500.00</v>
      </c>
    </row>
    <row r="100">
      <c r="A100" s="5">
        <v>46259</v>
      </c>
      <c r="B100" t="inlineStr">
        <is>
          <t xml:space="preserve">Rent due — week of August 25, 2026</t>
        </is>
      </c>
      <c r="C100" s="3">
        <v>425</v>
      </c>
      <c r="E100" s="3">
        <f>E99+C100-D100</f>
        <v>10925.00</v>
      </c>
    </row>
    <row r="101">
      <c r="A101" s="5">
        <v>46261</v>
      </c>
      <c r="B101" t="inlineStr">
        <is>
          <t xml:space="preserve">Payment — Zelle from VLADIMIR FLOROV</t>
        </is>
      </c>
      <c r="D101" s="3">
        <v>425</v>
      </c>
      <c r="E101" s="3">
        <f>E100+C101-D101</f>
        <v>10500.00</v>
      </c>
      <c r="F101" t="inlineStr">
        <is>
          <t xml:space="preserve">WFCT22L3L55J</t>
        </is>
      </c>
    </row>
    <row r="102">
      <c r="A102" s="5">
        <v>46266</v>
      </c>
      <c r="B102" t="inlineStr">
        <is>
          <t xml:space="preserve">Rent due — week of September 1, 2026</t>
        </is>
      </c>
      <c r="C102" s="3">
        <v>425</v>
      </c>
      <c r="E102" s="3">
        <f>E101+C102-D102</f>
        <v>10925.00</v>
      </c>
    </row>
    <row r="103">
      <c r="A103" s="5">
        <v>46266</v>
      </c>
      <c r="B103" t="inlineStr">
        <is>
          <t xml:space="preserve">Payment — Zelle from VLADIMIR FLOROV</t>
        </is>
      </c>
      <c r="D103" s="3">
        <v>425</v>
      </c>
      <c r="E103" s="3">
        <f>E102+C103-D103</f>
        <v>10500.00</v>
      </c>
      <c r="F103" t="inlineStr">
        <is>
          <t xml:space="preserve">WFCT22LQKWRP</t>
        </is>
      </c>
    </row>
    <row r="104">
      <c r="A104" s="8" t="inlineStr">
        <is>
          <t xml:space="preserve"/>
        </is>
      </c>
      <c r="B104" s="8" t="inlineStr">
        <is>
          <t xml:space="preserve">TOTALS</t>
        </is>
      </c>
      <c r="C104" s="4">
        <f>SUM(C9:C103)</f>
        <v>26350.00</v>
      </c>
      <c r="D104" s="4">
        <f>SUM(D9:D103)</f>
        <v>15850.00</v>
      </c>
      <c r="E104" s="4">
        <f>C104-D104</f>
        <v>10500.00</v>
      </c>
      <c r="F104" s="8" t="inlineStr">
        <is>
          <t xml:space="preserve"/>
        </is>
      </c>
    </row>
    <row r="105"/>
    <row r="106">
      <c r="A106" s="6" t="inlineStr">
        <is>
          <t xml:space="preserve">Note 1</t>
        </is>
      </c>
      <c r="B106" s="7" t="inlineStr">
        <is>
          <t xml:space="preserve">Rent accrues at $425.00 per week, one charge every seven days beginning July 1, 2025. Only whole weeks already fallen due are charged — a part week is never accrued, so no proration appears in this ledger.</t>
        </is>
      </c>
    </row>
    <row r="107">
      <c r="A107" s="6" t="inlineStr">
        <is>
          <t xml:space="preserve">Note 2</t>
        </is>
      </c>
      <c r="B107" s="7" t="inlineStr">
        <is>
          <t xml:space="preserve">Payments are the actual Zelle deposits credited to U.S. Bank checking account ····8247, taken from the export Checking - 8247_07-01-2025_09-06-2026.csv. Each row corresponds to one row of that export; nothing is estimated.</t>
        </is>
      </c>
    </row>
    <row r="108">
      <c r="A108" s="6" t="inlineStr">
        <is>
          <t xml:space="preserve">Note 3</t>
        </is>
      </c>
      <c r="B108" s="7" t="inlineStr">
        <is>
          <t xml:space="preserve">Balance Due is a running total: charges less payments as at each row. A negative figure means payments had, at that date, run ahead of the rent accrued.</t>
        </is>
      </c>
    </row>
    <row r="109">
      <c r="A109" s="6" t="inlineStr">
        <is>
          <t xml:space="preserve">Note 4</t>
        </is>
      </c>
      <c r="B109" s="7" t="inlineStr">
        <is>
          <t xml:space="preserve">A further 7 deposits totalling $375.00 were received for cleaning, a service charged separately from rent, against $35.00 paid out for that service in the same period — $340.00 net. Cleaning is excluded from this rent ledger and nothing is outstanding on that account; both sides are set out under CLEANING below.</t>
        </is>
      </c>
    </row>
    <row r="110">
      <c r="A110" s="6" t="inlineStr">
        <is>
          <t xml:space="preserve">Note 5</t>
        </is>
      </c>
      <c r="B110" s="7" t="inlineStr">
        <is>
          <t xml:space="preserve">This ledger is an informational compilation prepared from the bank export named above; it does not replace the primary bank statements.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1">
      <pane ySplit="4" topLeftCell="A5" activePane="bottomLeft" state="frozen"/>
    </sheetView>
  </sheetViews>
  <cols>
    <col min="1" max="1" width="12" customWidth="1"/>
    <col min="2" max="2" width="20" customWidth="1"/>
    <col min="3" max="3" width="13" customWidth="1"/>
    <col min="4" max="4" width="16" customWidth="1"/>
    <col min="5" max="5" width="30" customWidth="1"/>
  </cols>
  <sheetData>
    <row r="1">
      <c r="A1" s="9" t="inlineStr">
        <is>
          <t xml:space="preserve">CLEANING PAYMENTS</t>
        </is>
      </c>
      <c r="B1" s="9" t="inlineStr">
        <is>
          <t xml:space="preserve">Room A — charged separately from rent</t>
        </is>
      </c>
    </row>
    <row r="2">
      <c r="A2" s="6" t="inlineStr">
        <is>
          <t xml:space="preserve">Status</t>
        </is>
      </c>
      <c r="B2" s="1" t="inlineStr">
        <is>
          <t xml:space="preserve">Paid in full — nothing outstanding</t>
        </is>
      </c>
    </row>
    <row r="3"/>
    <row r="4">
      <c r="A4" s="2" t="inlineStr">
        <is>
          <t xml:space="preserve">Date</t>
        </is>
      </c>
      <c r="B4" s="2" t="inlineStr">
        <is>
          <t xml:space="preserve">Sender</t>
        </is>
      </c>
      <c r="C4" s="2" t="inlineStr">
        <is>
          <t xml:space="preserve">Amount</t>
        </is>
      </c>
      <c r="D4" s="2" t="inlineStr">
        <is>
          <t xml:space="preserve">Reference</t>
        </is>
      </c>
      <c r="E4" s="2" t="inlineStr">
        <is>
          <t xml:space="preserve">Nature of payment</t>
        </is>
      </c>
    </row>
    <row r="5">
      <c r="A5" s="5">
        <v>45985</v>
      </c>
      <c r="B5" t="inlineStr">
        <is>
          <t xml:space="preserve">DANILA FLOROV</t>
        </is>
      </c>
      <c r="C5" s="3">
        <v>25</v>
      </c>
      <c r="D5" t="inlineStr">
        <is>
          <t xml:space="preserve">WFCT0ZJC8CM5</t>
        </is>
      </c>
      <c r="E5" t="inlineStr">
        <is>
          <t xml:space="preserve">Cleaning service — paid in full</t>
        </is>
      </c>
    </row>
    <row r="6">
      <c r="A6" s="5">
        <v>46013</v>
      </c>
      <c r="B6" t="inlineStr">
        <is>
          <t xml:space="preserve">DANILA FLOROV</t>
        </is>
      </c>
      <c r="C6" s="3">
        <v>50</v>
      </c>
      <c r="D6" t="inlineStr">
        <is>
          <t xml:space="preserve">WFCT0ZMB2HWV</t>
        </is>
      </c>
      <c r="E6" t="inlineStr">
        <is>
          <t xml:space="preserve">Cleaning service — paid in full</t>
        </is>
      </c>
    </row>
    <row r="7">
      <c r="A7" s="5">
        <v>46057</v>
      </c>
      <c r="B7" t="inlineStr">
        <is>
          <t xml:space="preserve">DANILA FLOROV</t>
        </is>
      </c>
      <c r="C7" s="3">
        <v>60</v>
      </c>
      <c r="D7" t="inlineStr">
        <is>
          <t xml:space="preserve">WFCT0ZRVWT5S</t>
        </is>
      </c>
      <c r="E7" t="inlineStr">
        <is>
          <t xml:space="preserve">Cleaning service — paid in full</t>
        </is>
      </c>
    </row>
    <row r="8">
      <c r="A8" s="5">
        <v>46083</v>
      </c>
      <c r="B8" t="inlineStr">
        <is>
          <t xml:space="preserve">DANILA FLOROV</t>
        </is>
      </c>
      <c r="C8" s="3">
        <v>60</v>
      </c>
      <c r="D8" t="inlineStr">
        <is>
          <t xml:space="preserve">WFCT0ZVQ6KG9</t>
        </is>
      </c>
      <c r="E8" t="inlineStr">
        <is>
          <t xml:space="preserve">Cleaning service — paid in full</t>
        </is>
      </c>
    </row>
    <row r="9">
      <c r="A9" s="5">
        <v>46125</v>
      </c>
      <c r="B9" t="inlineStr">
        <is>
          <t xml:space="preserve">DANILA FLOROV</t>
        </is>
      </c>
      <c r="C9" s="3">
        <v>60</v>
      </c>
      <c r="D9" t="inlineStr">
        <is>
          <t xml:space="preserve">WFCT122CH3G5</t>
        </is>
      </c>
      <c r="E9" t="inlineStr">
        <is>
          <t xml:space="preserve">Cleaning service — paid in full</t>
        </is>
      </c>
    </row>
    <row r="10">
      <c r="A10" s="5">
        <v>46153</v>
      </c>
      <c r="B10" t="inlineStr">
        <is>
          <t xml:space="preserve">DANILA FLOROV</t>
        </is>
      </c>
      <c r="C10" s="3">
        <v>60</v>
      </c>
      <c r="D10" t="inlineStr">
        <is>
          <t xml:space="preserve">WFCT125K73JD</t>
        </is>
      </c>
      <c r="E10" t="inlineStr">
        <is>
          <t xml:space="preserve">Cleaning service — paid in full</t>
        </is>
      </c>
    </row>
    <row r="11">
      <c r="A11" s="5">
        <v>46209</v>
      </c>
      <c r="B11" t="inlineStr">
        <is>
          <t xml:space="preserve">DANILA FLOROV</t>
        </is>
      </c>
      <c r="C11" s="3">
        <v>60</v>
      </c>
      <c r="D11" t="inlineStr">
        <is>
          <t xml:space="preserve">WFCT12CWL675</t>
        </is>
      </c>
      <c r="E11" t="inlineStr">
        <is>
          <t xml:space="preserve">Cleaning service — paid in full</t>
        </is>
      </c>
    </row>
    <row r="12">
      <c r="A12" s="8" t="inlineStr">
        <is>
          <t xml:space="preserve"/>
        </is>
      </c>
      <c r="B12" s="8" t="inlineStr">
        <is>
          <t xml:space="preserve">TOTAL RECEIVED</t>
        </is>
      </c>
      <c r="C12" s="4">
        <f>SUM(C5:C11)</f>
        <v>375.00</v>
      </c>
      <c r="D12" s="8" t="inlineStr">
        <is>
          <t xml:space="preserve"/>
        </is>
      </c>
      <c r="E12" s="8" t="inlineStr">
        <is>
          <t xml:space="preserve">Nothing outstanding</t>
        </is>
      </c>
    </row>
    <row r="13"/>
    <row r="14">
      <c r="A14" s="1" t="inlineStr">
        <is>
          <t xml:space="preserve">PAID FOR CLEANING</t>
        </is>
      </c>
      <c r="B14" s="6" t="inlineStr">
        <is>
          <t xml:space="preserve">Money spent on the service over the same period</t>
        </is>
      </c>
    </row>
    <row r="15">
      <c r="A15" s="2" t="inlineStr">
        <is>
          <t xml:space="preserve">Date</t>
        </is>
      </c>
      <c r="B15" s="2" t="inlineStr">
        <is>
          <t xml:space="preserve">Paid to</t>
        </is>
      </c>
      <c r="C15" s="2" t="inlineStr">
        <is>
          <t xml:space="preserve">Amount</t>
        </is>
      </c>
      <c r="D15" s="2" t="inlineStr">
        <is>
          <t xml:space="preserve">Reference</t>
        </is>
      </c>
      <c r="E15" s="2" t="inlineStr">
        <is>
          <t xml:space="preserve">Description on statement</t>
        </is>
      </c>
    </row>
    <row r="16">
      <c r="A16" s="5">
        <v>46230</v>
      </c>
      <c r="B16" t="inlineStr">
        <is>
          <t xml:space="preserve">Diana Cleaning Alabama $25</t>
        </is>
      </c>
      <c r="C16" s="3">
        <v>35</v>
      </c>
      <c r="D16" t="inlineStr">
        <is>
          <t xml:space="preserve">USBCsRBsqPnM</t>
        </is>
      </c>
      <c r="E16" t="inlineStr">
        <is>
          <t xml:space="preserve">ZELLE INSTANT PMT TO Diana Cleaning Alabama $25 USBCsRBsqPnM</t>
        </is>
      </c>
    </row>
    <row r="17">
      <c r="A17" s="8" t="inlineStr">
        <is>
          <t xml:space="preserve"/>
        </is>
      </c>
      <c r="B17" s="8" t="inlineStr">
        <is>
          <t xml:space="preserve">TOTAL PAID</t>
        </is>
      </c>
      <c r="C17" s="4">
        <f>SUM(C16:C16)</f>
        <v>35.00</v>
      </c>
      <c r="D17" s="8" t="inlineStr">
        <is>
          <t xml:space="preserve"/>
        </is>
      </c>
      <c r="E17" s="8" t="inlineStr">
        <is>
          <t xml:space="preserve"/>
        </is>
      </c>
    </row>
    <row r="18"/>
    <row r="19">
      <c r="A19" s="8" t="inlineStr">
        <is>
          <t xml:space="preserve"/>
        </is>
      </c>
      <c r="B19" s="8" t="inlineStr">
        <is>
          <t xml:space="preserve">NET (received less paid)</t>
        </is>
      </c>
      <c r="C19" s="4">
        <f>C12-C17</f>
        <v>340.00</v>
      </c>
      <c r="D19" s="8" t="inlineStr">
        <is>
          <t xml:space="preserve"/>
        </is>
      </c>
      <c r="E19" s="8" t="inlineStr">
        <is>
          <t xml:space="preserve"/>
        </is>
      </c>
    </row>
    <row r="20"/>
    <row r="21">
      <c r="A21" s="6" t="inlineStr">
        <is>
          <t xml:space="preserve">Note 1</t>
        </is>
      </c>
      <c r="B21" s="7" t="inlineStr">
        <is>
          <t xml:space="preserve">Deposits above are payments received from the tenants for cleaning, a service charged separately from the rent. They are excluded from the rent ledger on the first tab and no amount remains outstanding on this account.</t>
        </is>
      </c>
    </row>
    <row r="22">
      <c r="A22" s="6" t="inlineStr">
        <is>
          <t xml:space="preserve">Note 2</t>
        </is>
      </c>
      <c r="B22" s="7" t="inlineStr">
        <is>
          <t xml:space="preserve">Amounts paid are the outgoing transfers for cleaning found in the same bank export. Both sections cover July 1, 2025 through September 3, 2026.</t>
        </is>
      </c>
    </row>
  </sheetData>
</worksheet>
</file>